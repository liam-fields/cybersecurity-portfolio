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7A355025-E7C7-4A4C-839F-4640159004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ocument &amp; Control Matrix" sheetId="1" r:id="rId1"/>
    <sheet name="Risk Register" sheetId="2" r:id="rId2"/>
    <sheet name="Risk Treatment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<sst xmlns="http://schemas.openxmlformats.org/spreadsheetml/2006/main" count="130" uniqueCount="93">
  <si>
    <t>Version</t>
  </si>
  <si>
    <t>Date</t>
  </si>
  <si>
    <t xml:space="preserve">Author </t>
  </si>
  <si>
    <t>Description</t>
  </si>
  <si>
    <t>Reviewer</t>
  </si>
  <si>
    <t>Likelihood / Impact Matrix</t>
  </si>
  <si>
    <t xml:space="preserve">1 .0 </t>
  </si>
  <si>
    <t>Liam Bennet Fields</t>
  </si>
  <si>
    <t>Initial ISO/IEC 27001:2022 Risk Assessment &amp; Gap Analysis</t>
  </si>
  <si>
    <t>Sec Dep. / CIO</t>
  </si>
  <si>
    <t>Impact: Low (1)</t>
  </si>
  <si>
    <t>Impact: Medium (2)</t>
  </si>
  <si>
    <t>Impact: High (3)</t>
  </si>
  <si>
    <t>Likelihood: Low (1)</t>
  </si>
  <si>
    <t>1 (Low)</t>
  </si>
  <si>
    <t>2 (Low)</t>
  </si>
  <si>
    <t>3 (Medium)</t>
  </si>
  <si>
    <t>Likelihood: Medium (2)</t>
  </si>
  <si>
    <t>4 (Medium)</t>
  </si>
  <si>
    <t>6 (High)</t>
  </si>
  <si>
    <t>Likelihood: High (3)</t>
  </si>
  <si>
    <t>9 (High)</t>
  </si>
  <si>
    <t>Risk ID</t>
  </si>
  <si>
    <t>Risk Category</t>
  </si>
  <si>
    <t>Risk Description / Scenario</t>
  </si>
  <si>
    <t>Affected Asset</t>
  </si>
  <si>
    <t>Initial L</t>
  </si>
  <si>
    <t>Initial I</t>
  </si>
  <si>
    <t>Initial Risk Score</t>
  </si>
  <si>
    <t>Evidence / Artifact Reference</t>
  </si>
  <si>
    <t>RSK-01</t>
  </si>
  <si>
    <t>Identity Access</t>
  </si>
  <si>
    <t>Terminated employee accounts remain active past separation date, allowing unauthorized system access.</t>
  </si>
  <si>
    <t>HR Portal &amp; Payroll System</t>
  </si>
  <si>
    <t>Security Operations Artifact.docx: user=p.ellis active login on 2025-06-29 despite 2025-05-20 termination.</t>
  </si>
  <si>
    <t>RSK-02</t>
  </si>
  <si>
    <t>Cryptography</t>
  </si>
  <si>
    <t>HR and Finance departments exchange payroll data over plaintext protocol, exposing PII to interception.</t>
  </si>
  <si>
    <t>Internal FTP Server</t>
  </si>
  <si>
    <r>
      <rPr>
        <i/>
        <sz val="11"/>
        <color rgb="FF000000"/>
        <rFont val="Google Sans Text"/>
      </rPr>
      <t>Data Security &amp; Systems Defense Artifact.docx:</t>
    </r>
    <r>
      <rPr>
        <sz val="11"/>
        <color rgb="FF000000"/>
        <rFont val="Google Sans Text"/>
      </rPr>
      <t xml:space="preserve"> Current Operations Section A (Plaintext FTP).</t>
    </r>
  </si>
  <si>
    <t>RSK-03</t>
  </si>
  <si>
    <t>Access Control</t>
  </si>
  <si>
    <t>Workstations operate with permanent Domain Admin rights, expanding malware blast radius.</t>
  </si>
  <si>
    <t>IT Subnet User Workstations</t>
  </si>
  <si>
    <r>
      <rPr>
        <i/>
        <sz val="11"/>
        <color rgb="FF000000"/>
        <rFont val="Google Sans Text"/>
      </rPr>
      <t>Data Security &amp; Systems Defense Artifact.docx:</t>
    </r>
    <r>
      <rPr>
        <sz val="11"/>
        <color rgb="FF000000"/>
        <rFont val="Google Sans Text"/>
      </rPr>
      <t xml:space="preserve"> Simplified System Architecture Diagram.</t>
    </r>
  </si>
  <si>
    <t>RSK-04</t>
  </si>
  <si>
    <t>Network Security</t>
  </si>
  <si>
    <t>Permissive outbound rules allow compromised internal systems to communicate freely with the public internet.</t>
  </si>
  <si>
    <t>Perimeter Firewall / Gateway</t>
  </si>
  <si>
    <r>
      <rPr>
        <i/>
        <sz val="11"/>
        <color rgb="FF000000"/>
        <rFont val="Google Sans Text"/>
      </rPr>
      <t>Incident &amp; Network Security Artifacts.docx:</t>
    </r>
    <r>
      <rPr>
        <sz val="11"/>
        <color rgb="FF000000"/>
        <rFont val="Google Sans Text"/>
      </rPr>
      <t xml:space="preserve"> Firewall Rule 103 (Internal to External: Any/Any: Allow).</t>
    </r>
  </si>
  <si>
    <t>RSK-05</t>
  </si>
  <si>
    <t>Monitoring</t>
  </si>
  <si>
    <t>System, application, and network alerts are kept locally on endpoints and dropped after 30 days.</t>
  </si>
  <si>
    <t>Distributed Infrastructure Logs</t>
  </si>
  <si>
    <r>
      <rPr>
        <i/>
        <sz val="11"/>
        <color rgb="FF000000"/>
        <rFont val="Google Sans Text"/>
      </rPr>
      <t>Data Security &amp; Systems Defense Artifact.docx:</t>
    </r>
    <r>
      <rPr>
        <sz val="11"/>
        <color rgb="FF000000"/>
        <rFont val="Google Sans Text"/>
      </rPr>
      <t xml:space="preserve"> Operational Environment Summary (Monitoring and Detection).</t>
    </r>
  </si>
  <si>
    <t>RSK-06</t>
  </si>
  <si>
    <t>Security Culture</t>
  </si>
  <si>
    <t>Cyber awareness training is restricted to a brief annual email, leaving staff vulnerable to social engineering.</t>
  </si>
  <si>
    <t>FinSecure Personnel / Corporate Network</t>
  </si>
  <si>
    <r>
      <rPr>
        <i/>
        <sz val="11"/>
        <color rgb="FF000000"/>
        <rFont val="Google Sans Text"/>
      </rPr>
      <t>Incident &amp; Network Security Artifacts.docx:</t>
    </r>
    <r>
      <rPr>
        <sz val="11"/>
        <color rgb="FF000000"/>
        <rFont val="Google Sans Text"/>
      </rPr>
      <t xml:space="preserve"> Phishing email containing GhostX RAT executed by HR user on June 24.</t>
    </r>
  </si>
  <si>
    <t>Target ISO 27001 Control</t>
  </si>
  <si>
    <t>Planned Action / Remediation Strategy</t>
  </si>
  <si>
    <t>Assigned Owner</t>
  </si>
  <si>
    <t>Residual L</t>
  </si>
  <si>
    <t>Residual I</t>
  </si>
  <si>
    <t>Residual Risk Score</t>
  </si>
  <si>
    <t>Status</t>
  </si>
  <si>
    <t>NIST Alignment</t>
  </si>
  <si>
    <r>
      <t>A.5.18</t>
    </r>
    <r>
      <rPr>
        <sz val="11"/>
        <color theme="1"/>
        <rFont val="Google Sans Text"/>
        <family val="2"/>
        <charset val="1"/>
      </rPr>
      <t xml:space="preserve"> (Access Rights)</t>
    </r>
  </si>
  <si>
    <t>Automate account de-provisioning interfaces to disable access immediately upon HR separation notice.</t>
  </si>
  <si>
    <t>IAM Engineering</t>
  </si>
  <si>
    <t>Planned</t>
  </si>
  <si>
    <t>NIST SP 800-53 PS-4</t>
  </si>
  <si>
    <r>
      <t>A.8.24</t>
    </r>
    <r>
      <rPr>
        <sz val="11"/>
        <color theme="1"/>
        <rFont val="Google Sans Text"/>
        <family val="2"/>
        <charset val="1"/>
      </rPr>
      <t xml:space="preserve"> (Cryptography)</t>
    </r>
  </si>
  <si>
    <t>Deprecate legacy FTP; migrate internal file ingestion workflows to SFTP utilizing SSH encryption keys.</t>
  </si>
  <si>
    <t>IT Infrastructure</t>
  </si>
  <si>
    <t>NIST SP 800-52 Rev. 2</t>
  </si>
  <si>
    <r>
      <t>A.8.2</t>
    </r>
    <r>
      <rPr>
        <sz val="11"/>
        <color theme="1"/>
        <rFont val="Google Sans Text"/>
        <family val="2"/>
        <charset val="1"/>
      </rPr>
      <t xml:space="preserve"> (Privileged Access)</t>
    </r>
  </si>
  <si>
    <t>Strip Domain Admin rights from standard accounts; enforce a Privileged Access Management (PAM) gateway.</t>
  </si>
  <si>
    <t>Identity Team</t>
  </si>
  <si>
    <t>NIST SP 800-53 AC-6</t>
  </si>
  <si>
    <r>
      <t>A.8.20</t>
    </r>
    <r>
      <rPr>
        <sz val="11"/>
        <color theme="1"/>
        <rFont val="Google Sans Text"/>
        <family val="2"/>
        <charset val="1"/>
      </rPr>
      <t xml:space="preserve"> (Network Security)</t>
    </r>
  </si>
  <si>
    <t>Revoke Rule 103; deploy strict outbound egress filters restricted to authorized ports (443, 53).</t>
  </si>
  <si>
    <t>NIST CSF 2.0 PR.IR</t>
  </si>
  <si>
    <r>
      <t>A.8.16</t>
    </r>
    <r>
      <rPr>
        <sz val="11"/>
        <color theme="1"/>
        <rFont val="Google Sans Text"/>
        <family val="2"/>
        <charset val="1"/>
      </rPr>
      <t xml:space="preserve"> (Monitoring)</t>
    </r>
  </si>
  <si>
    <t>Deploy a centralized SIEM tool to aggregate, parse, and retain endpoint and network logs for a 90-day minimum.</t>
  </si>
  <si>
    <t>SecOps Team</t>
  </si>
  <si>
    <t>NIST SP 800-37</t>
  </si>
  <si>
    <r>
      <t>A.6.3</t>
    </r>
    <r>
      <rPr>
        <sz val="11"/>
        <color theme="1"/>
        <rFont val="Google Sans Text"/>
        <family val="2"/>
        <charset val="1"/>
      </rPr>
      <t xml:space="preserve"> (InfoSec Awareness)</t>
    </r>
  </si>
  <si>
    <t>Replace annual emails with continuous automated micro-learning models and quarterly phishing testing.</t>
  </si>
  <si>
    <t>HR / GRC Lead</t>
  </si>
  <si>
    <t>CIS Control 14</t>
  </si>
  <si>
    <t>Tracking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</si>
</sst>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i/>
      <sz val="11"/>
      <color theme="1"/>
      <name val="Google Sans Text"/>
      <family val="2"/>
      <charset val="1"/>
    </font>
    <font>
      <sz val="11"/>
      <color rgb="FF000000"/>
      <name val="Google Sans Text"/>
    </font>
    <font>
      <sz val="11"/>
      <color theme="1"/>
      <name val="Aptos"/>
    </font>
    <font>
      <b/>
      <sz val="11"/>
      <color theme="0"/>
      <name val="Google Sans Text"/>
      <family val="2"/>
      <charset val="1"/>
    </font>
    <font>
      <b/>
      <sz val="11"/>
      <color theme="1"/>
      <name val="Calibri"/>
      <family val="2"/>
      <scheme val="minor"/>
    </font>
    <font>
      <sz val="11"/>
      <color theme="0"/>
      <name val="Aptos"/>
    </font>
    <font>
      <b/>
      <sz val="11"/>
      <color theme="1"/>
      <name val="Aptos"/>
    </font>
    <font>
      <i/>
      <sz val="11"/>
      <color rgb="FF000000"/>
      <name val="Google Sans Text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6" fillId="2" borderId="1" xfId="0" applyFont="1" applyFill="1" applyBorder="1"/>
    <xf numFmtId="0" fontId="1" fillId="3" borderId="2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1" fillId="3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2" xfId="0" applyFont="1" applyFill="1" applyBorder="1"/>
    <xf numFmtId="0" fontId="1" fillId="6" borderId="1" xfId="0" applyFont="1" applyFill="1" applyBorder="1"/>
    <xf numFmtId="0" fontId="7" fillId="0" borderId="0" xfId="0" applyFont="1"/>
    <xf numFmtId="0" fontId="8" fillId="2" borderId="4" xfId="0" applyFont="1" applyFill="1" applyBorder="1"/>
    <xf numFmtId="0" fontId="5" fillId="3" borderId="3" xfId="0" applyFont="1" applyFill="1" applyBorder="1"/>
    <xf numFmtId="15" fontId="5" fillId="3" borderId="3" xfId="0" applyNumberFormat="1" applyFont="1" applyFill="1" applyBorder="1"/>
    <xf numFmtId="0" fontId="5" fillId="3" borderId="3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0" xfId="0" applyFont="1" applyBorder="1"/>
    <xf numFmtId="0" fontId="9" fillId="0" borderId="0" xfId="0" applyFont="1"/>
    <xf numFmtId="0" fontId="5" fillId="7" borderId="3" xfId="0" applyFont="1" applyFill="1" applyBorder="1"/>
    <xf numFmtId="0" fontId="5" fillId="8" borderId="3" xfId="0" applyFont="1" applyFill="1" applyBorder="1"/>
    <xf numFmtId="0" fontId="5" fillId="9" borderId="3" xfId="0" applyFont="1" applyFill="1" applyBorder="1"/>
    <xf numFmtId="0" fontId="5" fillId="10" borderId="3" xfId="0" applyFont="1" applyFill="1" applyBorder="1"/>
    <xf numFmtId="0" fontId="5" fillId="10" borderId="3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2" borderId="3" xfId="0" applyFont="1" applyFill="1" applyBorder="1"/>
    <xf numFmtId="0" fontId="12" fillId="2" borderId="3" xfId="0" applyFont="1" applyFill="1" applyBorder="1" applyAlignment="1"/>
    <xf numFmtId="0" fontId="1" fillId="3" borderId="3" xfId="0" applyFont="1" applyFill="1" applyBorder="1" applyAlignment="1">
      <alignment wrapText="1"/>
    </xf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FinSecure Corp. Risk Mitigation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Initial Risk Score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Dashboard!$A$3:$A$8</c:f>
              <c:strCache>
                <c:ptCount val="6"/>
                <c:pt idx="0">
                  <c:v>RSK-01</c:v>
                </c:pt>
                <c:pt idx="1">
                  <c:v>RSK-02</c:v>
                </c:pt>
                <c:pt idx="2">
                  <c:v>RSK-03</c:v>
                </c:pt>
                <c:pt idx="3">
                  <c:v>RSK-04</c:v>
                </c:pt>
                <c:pt idx="4">
                  <c:v>RSK-05</c:v>
                </c:pt>
                <c:pt idx="5">
                  <c:v>RSK-06</c:v>
                </c:pt>
              </c:strCache>
            </c:strRef>
          </c:cat>
          <c:val>
            <c:numRef>
              <c:f>Dashboard!$B$3:$B$8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A-4432-A2F6-B9DA7D401062}"/>
            </c:ext>
          </c:extLst>
        </c:ser>
        <c:ser>
          <c:idx val="1"/>
          <c:order val="1"/>
          <c:tx>
            <c:strRef>
              <c:f>Dashboard!$C$2</c:f>
              <c:strCache>
                <c:ptCount val="1"/>
                <c:pt idx="0">
                  <c:v>Residual Risk Score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Dashboard!$A$3:$A$8</c:f>
              <c:strCache>
                <c:ptCount val="6"/>
                <c:pt idx="0">
                  <c:v>RSK-01</c:v>
                </c:pt>
                <c:pt idx="1">
                  <c:v>RSK-02</c:v>
                </c:pt>
                <c:pt idx="2">
                  <c:v>RSK-03</c:v>
                </c:pt>
                <c:pt idx="3">
                  <c:v>RSK-04</c:v>
                </c:pt>
                <c:pt idx="4">
                  <c:v>RSK-05</c:v>
                </c:pt>
                <c:pt idx="5">
                  <c:v>RSK-06</c:v>
                </c:pt>
              </c:strCache>
            </c:strRef>
          </c:cat>
          <c:val>
            <c:numRef>
              <c:f>Dashboard!$C$3:$C$8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A-4432-A2F6-B9DA7D401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27080"/>
        <c:axId val="10224648"/>
      </c:barChart>
      <c:catAx>
        <c:axId val="58627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4648"/>
        <c:crosses val="autoZero"/>
        <c:auto val="1"/>
        <c:lblAlgn val="ctr"/>
        <c:lblOffset val="100"/>
        <c:noMultiLvlLbl val="0"/>
      </c:catAx>
      <c:valAx>
        <c:axId val="1022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7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16</xdr:col>
      <xdr:colOff>19050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18F19-36ED-D47A-EC47-5B3988BDD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K12" sqref="K12"/>
    </sheetView>
  </sheetViews>
  <sheetFormatPr defaultRowHeight="15"/>
  <cols>
    <col min="1" max="1" width="10.7109375" style="1" customWidth="1"/>
    <col min="2" max="2" width="10.5703125" style="1" customWidth="1"/>
    <col min="3" max="3" width="12.5703125" style="1" customWidth="1"/>
    <col min="4" max="4" width="28.28515625" style="1" customWidth="1"/>
    <col min="5" max="8" width="9.140625" style="1"/>
    <col min="9" max="9" width="12.140625" style="1" customWidth="1"/>
    <col min="10" max="10" width="12" style="1" customWidth="1"/>
    <col min="11" max="11" width="11.7109375" style="1" customWidth="1"/>
    <col min="12" max="12" width="12.5703125" style="1" customWidth="1"/>
    <col min="13" max="16384" width="9.140625" style="1"/>
  </cols>
  <sheetData>
    <row r="1" spans="1:1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I1" s="24" t="s">
        <v>5</v>
      </c>
      <c r="J1" s="24"/>
    </row>
    <row r="2" spans="1:12" ht="45" customHeight="1">
      <c r="A2" s="19" t="s">
        <v>6</v>
      </c>
      <c r="B2" s="20">
        <v>46201</v>
      </c>
      <c r="C2" s="21" t="s">
        <v>7</v>
      </c>
      <c r="D2" s="21" t="s">
        <v>8</v>
      </c>
      <c r="E2" s="21" t="s">
        <v>9</v>
      </c>
      <c r="I2" s="28"/>
      <c r="J2" s="29" t="s">
        <v>10</v>
      </c>
      <c r="K2" s="29" t="s">
        <v>11</v>
      </c>
      <c r="L2" s="29" t="s">
        <v>12</v>
      </c>
    </row>
    <row r="3" spans="1:12" ht="43.5">
      <c r="I3" s="29" t="s">
        <v>13</v>
      </c>
      <c r="J3" s="25" t="s">
        <v>14</v>
      </c>
      <c r="K3" s="25" t="s">
        <v>15</v>
      </c>
      <c r="L3" s="26" t="s">
        <v>16</v>
      </c>
    </row>
    <row r="4" spans="1:12" ht="57.75">
      <c r="I4" s="29" t="s">
        <v>17</v>
      </c>
      <c r="J4" s="25" t="s">
        <v>15</v>
      </c>
      <c r="K4" s="26" t="s">
        <v>18</v>
      </c>
      <c r="L4" s="27" t="s">
        <v>19</v>
      </c>
    </row>
    <row r="5" spans="1:12" ht="43.5">
      <c r="A5" s="22"/>
      <c r="I5" s="29" t="s">
        <v>20</v>
      </c>
      <c r="J5" s="26" t="s">
        <v>16</v>
      </c>
      <c r="K5" s="27" t="s">
        <v>19</v>
      </c>
      <c r="L5" s="27" t="s">
        <v>21</v>
      </c>
    </row>
    <row r="6" spans="1:12">
      <c r="A6" s="23"/>
    </row>
    <row r="7" spans="1:12">
      <c r="A7" s="23"/>
    </row>
    <row r="8" spans="1:12">
      <c r="A8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BAD2-7D8A-4B3A-A107-A9A6647CD246}">
  <dimension ref="A1:H7"/>
  <sheetViews>
    <sheetView workbookViewId="0">
      <selection activeCell="I13" sqref="I13"/>
    </sheetView>
  </sheetViews>
  <sheetFormatPr defaultRowHeight="15"/>
  <cols>
    <col min="1" max="1" width="13.140625" customWidth="1"/>
    <col min="2" max="2" width="20.7109375" customWidth="1"/>
    <col min="3" max="3" width="54.140625" customWidth="1"/>
    <col min="4" max="4" width="29.7109375" customWidth="1"/>
    <col min="5" max="5" width="14.140625" customWidth="1"/>
    <col min="6" max="6" width="12.7109375" customWidth="1"/>
    <col min="7" max="7" width="18.42578125" customWidth="1"/>
    <col min="8" max="8" width="34.42578125" customWidth="1"/>
  </cols>
  <sheetData>
    <row r="1" spans="1:8" ht="57" customHeight="1">
      <c r="A1" s="6" t="s">
        <v>22</v>
      </c>
      <c r="B1" s="6" t="s">
        <v>23</v>
      </c>
      <c r="C1" s="2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</row>
    <row r="2" spans="1:8" ht="57.75" customHeight="1">
      <c r="A2" s="7" t="s">
        <v>30</v>
      </c>
      <c r="B2" s="8" t="s">
        <v>31</v>
      </c>
      <c r="C2" s="9" t="s">
        <v>32</v>
      </c>
      <c r="D2" s="8" t="s">
        <v>33</v>
      </c>
      <c r="E2" s="8">
        <v>3</v>
      </c>
      <c r="F2" s="8">
        <v>2</v>
      </c>
      <c r="G2" s="15" t="s">
        <v>19</v>
      </c>
      <c r="H2" s="10" t="s">
        <v>34</v>
      </c>
    </row>
    <row r="3" spans="1:8" ht="50.25">
      <c r="A3" s="11" t="s">
        <v>35</v>
      </c>
      <c r="B3" s="12" t="s">
        <v>36</v>
      </c>
      <c r="C3" s="5" t="s">
        <v>37</v>
      </c>
      <c r="D3" s="12" t="s">
        <v>38</v>
      </c>
      <c r="E3" s="12">
        <v>2</v>
      </c>
      <c r="F3" s="12">
        <v>3</v>
      </c>
      <c r="G3" s="16" t="s">
        <v>19</v>
      </c>
      <c r="H3" s="30" t="s">
        <v>39</v>
      </c>
    </row>
    <row r="4" spans="1:8" ht="50.25">
      <c r="A4" s="11" t="s">
        <v>40</v>
      </c>
      <c r="B4" s="12" t="s">
        <v>41</v>
      </c>
      <c r="C4" s="5" t="s">
        <v>42</v>
      </c>
      <c r="D4" s="12" t="s">
        <v>43</v>
      </c>
      <c r="E4" s="12">
        <v>2</v>
      </c>
      <c r="F4" s="12">
        <v>3</v>
      </c>
      <c r="G4" s="16" t="s">
        <v>19</v>
      </c>
      <c r="H4" s="30" t="s">
        <v>44</v>
      </c>
    </row>
    <row r="5" spans="1:8" ht="66.75">
      <c r="A5" s="11" t="s">
        <v>45</v>
      </c>
      <c r="B5" s="12" t="s">
        <v>46</v>
      </c>
      <c r="C5" s="5" t="s">
        <v>47</v>
      </c>
      <c r="D5" s="12" t="s">
        <v>48</v>
      </c>
      <c r="E5" s="12">
        <v>3</v>
      </c>
      <c r="F5" s="12">
        <v>2</v>
      </c>
      <c r="G5" s="16" t="s">
        <v>19</v>
      </c>
      <c r="H5" s="30" t="s">
        <v>49</v>
      </c>
    </row>
    <row r="6" spans="1:8" ht="66.75">
      <c r="A6" s="11" t="s">
        <v>50</v>
      </c>
      <c r="B6" s="12" t="s">
        <v>51</v>
      </c>
      <c r="C6" s="5" t="s">
        <v>52</v>
      </c>
      <c r="D6" s="12" t="s">
        <v>53</v>
      </c>
      <c r="E6" s="12">
        <v>3</v>
      </c>
      <c r="F6" s="12">
        <v>2</v>
      </c>
      <c r="G6" s="16" t="s">
        <v>19</v>
      </c>
      <c r="H6" s="30" t="s">
        <v>54</v>
      </c>
    </row>
    <row r="7" spans="1:8" ht="66.75">
      <c r="A7" s="11" t="s">
        <v>55</v>
      </c>
      <c r="B7" s="12" t="s">
        <v>56</v>
      </c>
      <c r="C7" s="5" t="s">
        <v>57</v>
      </c>
      <c r="D7" s="12" t="s">
        <v>58</v>
      </c>
      <c r="E7" s="12">
        <v>3</v>
      </c>
      <c r="F7" s="12">
        <v>2</v>
      </c>
      <c r="G7" s="16" t="s">
        <v>19</v>
      </c>
      <c r="H7" s="3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E0B-C0EC-4139-8AE4-846079F445ED}">
  <dimension ref="A1:I7"/>
  <sheetViews>
    <sheetView workbookViewId="0">
      <selection activeCell="A2" sqref="A2:A7"/>
    </sheetView>
  </sheetViews>
  <sheetFormatPr defaultRowHeight="15"/>
  <cols>
    <col min="2" max="2" width="25.7109375" customWidth="1"/>
    <col min="3" max="3" width="59.140625" customWidth="1"/>
    <col min="4" max="4" width="15.85546875" customWidth="1"/>
    <col min="7" max="7" width="16.7109375" customWidth="1"/>
    <col min="8" max="8" width="8.7109375" customWidth="1"/>
    <col min="9" max="9" width="17.5703125" customWidth="1"/>
  </cols>
  <sheetData>
    <row r="1" spans="1:9" ht="33" customHeight="1">
      <c r="A1" s="2" t="s">
        <v>22</v>
      </c>
      <c r="B1" s="3" t="s">
        <v>60</v>
      </c>
      <c r="C1" s="3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</row>
    <row r="2" spans="1:9" ht="33.75">
      <c r="A2" s="4" t="s">
        <v>30</v>
      </c>
      <c r="B2" s="4" t="s">
        <v>68</v>
      </c>
      <c r="C2" s="5" t="s">
        <v>69</v>
      </c>
      <c r="D2" s="5" t="s">
        <v>70</v>
      </c>
      <c r="E2" s="5">
        <v>1</v>
      </c>
      <c r="F2" s="5">
        <v>2</v>
      </c>
      <c r="G2" s="13" t="s">
        <v>15</v>
      </c>
      <c r="H2" s="5" t="s">
        <v>71</v>
      </c>
      <c r="I2" s="5" t="s">
        <v>72</v>
      </c>
    </row>
    <row r="3" spans="1:9" ht="33.75">
      <c r="A3" s="4" t="s">
        <v>35</v>
      </c>
      <c r="B3" s="4" t="s">
        <v>73</v>
      </c>
      <c r="C3" s="5" t="s">
        <v>74</v>
      </c>
      <c r="D3" s="5" t="s">
        <v>75</v>
      </c>
      <c r="E3" s="5">
        <v>1</v>
      </c>
      <c r="F3" s="5">
        <v>3</v>
      </c>
      <c r="G3" s="14" t="s">
        <v>16</v>
      </c>
      <c r="H3" s="5" t="s">
        <v>71</v>
      </c>
      <c r="I3" s="5" t="s">
        <v>76</v>
      </c>
    </row>
    <row r="4" spans="1:9" ht="33.75">
      <c r="A4" s="4" t="s">
        <v>40</v>
      </c>
      <c r="B4" s="4" t="s">
        <v>77</v>
      </c>
      <c r="C4" s="5" t="s">
        <v>78</v>
      </c>
      <c r="D4" s="5" t="s">
        <v>79</v>
      </c>
      <c r="E4" s="5">
        <v>1</v>
      </c>
      <c r="F4" s="5">
        <v>2</v>
      </c>
      <c r="G4" s="13" t="s">
        <v>15</v>
      </c>
      <c r="H4" s="5" t="s">
        <v>71</v>
      </c>
      <c r="I4" s="5" t="s">
        <v>80</v>
      </c>
    </row>
    <row r="5" spans="1:9" ht="33.75">
      <c r="A5" s="4" t="s">
        <v>45</v>
      </c>
      <c r="B5" s="4" t="s">
        <v>81</v>
      </c>
      <c r="C5" s="5" t="s">
        <v>82</v>
      </c>
      <c r="D5" s="5" t="s">
        <v>46</v>
      </c>
      <c r="E5" s="5">
        <v>1</v>
      </c>
      <c r="F5" s="5">
        <v>2</v>
      </c>
      <c r="G5" s="13" t="s">
        <v>15</v>
      </c>
      <c r="H5" s="5" t="s">
        <v>71</v>
      </c>
      <c r="I5" s="5" t="s">
        <v>83</v>
      </c>
    </row>
    <row r="6" spans="1:9" ht="33.75">
      <c r="A6" s="4" t="s">
        <v>50</v>
      </c>
      <c r="B6" s="4" t="s">
        <v>84</v>
      </c>
      <c r="C6" s="5" t="s">
        <v>85</v>
      </c>
      <c r="D6" s="5" t="s">
        <v>86</v>
      </c>
      <c r="E6" s="5">
        <v>1</v>
      </c>
      <c r="F6" s="5">
        <v>2</v>
      </c>
      <c r="G6" s="13" t="s">
        <v>15</v>
      </c>
      <c r="H6" s="5" t="s">
        <v>71</v>
      </c>
      <c r="I6" s="5" t="s">
        <v>87</v>
      </c>
    </row>
    <row r="7" spans="1:9" ht="33.75">
      <c r="A7" s="4" t="s">
        <v>55</v>
      </c>
      <c r="B7" s="4" t="s">
        <v>88</v>
      </c>
      <c r="C7" s="5" t="s">
        <v>89</v>
      </c>
      <c r="D7" s="5" t="s">
        <v>90</v>
      </c>
      <c r="E7" s="5">
        <v>1</v>
      </c>
      <c r="F7" s="5">
        <v>2</v>
      </c>
      <c r="G7" s="13" t="s">
        <v>15</v>
      </c>
      <c r="H7" s="5" t="s">
        <v>71</v>
      </c>
      <c r="I7" s="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BFE1-52DB-42B2-AB31-711F7B9C96AA}">
  <dimension ref="A1:C8"/>
  <sheetViews>
    <sheetView workbookViewId="0">
      <selection activeCell="T15" sqref="T15"/>
    </sheetView>
  </sheetViews>
  <sheetFormatPr defaultRowHeight="15"/>
  <cols>
    <col min="1" max="1" width="14.5703125" customWidth="1"/>
    <col min="2" max="2" width="16.140625" customWidth="1"/>
    <col min="3" max="3" width="19.28515625" customWidth="1"/>
  </cols>
  <sheetData>
    <row r="1" spans="1:3">
      <c r="A1" s="17" t="s">
        <v>92</v>
      </c>
    </row>
    <row r="2" spans="1:3">
      <c r="A2" s="31" t="s">
        <v>22</v>
      </c>
      <c r="B2" s="32" t="s">
        <v>28</v>
      </c>
      <c r="C2" s="32" t="s">
        <v>65</v>
      </c>
    </row>
    <row r="3" spans="1:3" ht="16.5">
      <c r="A3" s="33" t="s">
        <v>30</v>
      </c>
      <c r="B3" s="34">
        <v>6</v>
      </c>
      <c r="C3" s="34">
        <v>2</v>
      </c>
    </row>
    <row r="4" spans="1:3" ht="16.5">
      <c r="A4" s="33" t="s">
        <v>35</v>
      </c>
      <c r="B4" s="34">
        <v>6</v>
      </c>
      <c r="C4" s="34">
        <v>3</v>
      </c>
    </row>
    <row r="5" spans="1:3" ht="16.5">
      <c r="A5" s="33" t="s">
        <v>40</v>
      </c>
      <c r="B5" s="34">
        <v>6</v>
      </c>
      <c r="C5" s="34">
        <v>2</v>
      </c>
    </row>
    <row r="6" spans="1:3" ht="16.5">
      <c r="A6" s="33" t="s">
        <v>45</v>
      </c>
      <c r="B6" s="34">
        <v>6</v>
      </c>
      <c r="C6" s="34">
        <v>2</v>
      </c>
    </row>
    <row r="7" spans="1:3" ht="16.5">
      <c r="A7" s="33" t="s">
        <v>50</v>
      </c>
      <c r="B7" s="34">
        <v>6</v>
      </c>
      <c r="C7" s="34">
        <v>2</v>
      </c>
    </row>
    <row r="8" spans="1:3" ht="16.5">
      <c r="A8" s="33" t="s">
        <v>55</v>
      </c>
      <c r="B8" s="34">
        <v>6</v>
      </c>
      <c r="C8" s="34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2026-06-28T16:06:23Z</dcterms:created>
  <dcterms:modified xsi:type="dcterms:W3CDTF">2026-06-28T17:34:13Z</dcterms:modified>
  <cp:category/>
  <cp:contentStatus/>
</cp:coreProperties>
</file>